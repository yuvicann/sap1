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2" activeTab="6"/>
  </bookViews>
  <sheets>
    <sheet name="Flowchart" sheetId="5" r:id="rId1"/>
    <sheet name="Listing" sheetId="1" r:id="rId2"/>
    <sheet name="Cost Price Updation" sheetId="6" r:id="rId3"/>
    <sheet name="Selling Price" sheetId="2" r:id="rId4"/>
    <sheet name="Weekly Requirement" sheetId="3" r:id="rId5"/>
    <sheet name="Reports" sheetId="4" r:id="rId6"/>
    <sheet name=" priyanka mass upload" sheetId="7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" l="1"/>
  <c r="S4" i="2" l="1"/>
  <c r="N4" i="2"/>
  <c r="A4" i="2"/>
</calcChain>
</file>

<file path=xl/sharedStrings.xml><?xml version="1.0" encoding="utf-8"?>
<sst xmlns="http://schemas.openxmlformats.org/spreadsheetml/2006/main" count="191" uniqueCount="135">
  <si>
    <t>Cost Price Updation Format</t>
  </si>
  <si>
    <t>Site Code</t>
  </si>
  <si>
    <t>City</t>
  </si>
  <si>
    <t>Article Code</t>
  </si>
  <si>
    <t>Article Desc</t>
  </si>
  <si>
    <t>Category</t>
  </si>
  <si>
    <t>L2</t>
  </si>
  <si>
    <t>MRP</t>
  </si>
  <si>
    <t>Case Lot</t>
  </si>
  <si>
    <t>Cost Price Without Tax</t>
  </si>
  <si>
    <t>Cost Price With Tax</t>
  </si>
  <si>
    <t>Vendor Code</t>
  </si>
  <si>
    <t>Vendor Name</t>
  </si>
  <si>
    <t>dwarkanath.s@ril.com</t>
  </si>
  <si>
    <t>dinesh5.jadhav@ril.com</t>
  </si>
  <si>
    <t>To be shared with Dwarka / Dinesh for listing &amp; cost price updation</t>
  </si>
  <si>
    <t>cc: nitin8.gupta@ril.com</t>
  </si>
  <si>
    <t>Clubbed</t>
  </si>
  <si>
    <t xml:space="preserve">Ecom Product Name </t>
  </si>
  <si>
    <t>Cluster</t>
  </si>
  <si>
    <t>Channel</t>
  </si>
  <si>
    <t>Brand</t>
  </si>
  <si>
    <t>SAP Type</t>
  </si>
  <si>
    <t>Min_Qty</t>
  </si>
  <si>
    <t>Sys_Min_Max Qty</t>
  </si>
  <si>
    <t>Qty</t>
  </si>
  <si>
    <t>B2B Selling Price 
(Rs.)</t>
  </si>
  <si>
    <t>Base Quantity Pricing</t>
  </si>
  <si>
    <t>Start Date</t>
  </si>
  <si>
    <t>End Date</t>
  </si>
  <si>
    <t>Ladder Qty.</t>
  </si>
  <si>
    <t>B2B Selling Price 
(Rs.).</t>
  </si>
  <si>
    <t>PTR 
(MD %)..</t>
  </si>
  <si>
    <t>Ladder Qty..</t>
  </si>
  <si>
    <t>B2B Selling Price 
(Rs.)..</t>
  </si>
  <si>
    <t>MAP with Tax</t>
  </si>
  <si>
    <t>Remarks</t>
  </si>
  <si>
    <t>GOOD LIFE FENUGREEK 100g PP</t>
  </si>
  <si>
    <t>V0TZ</t>
  </si>
  <si>
    <t>MKP</t>
  </si>
  <si>
    <t>SPICES &amp; MASALAS</t>
  </si>
  <si>
    <t>Goodlife</t>
  </si>
  <si>
    <t>B</t>
  </si>
  <si>
    <t>Pricing updated based on GKM</t>
  </si>
  <si>
    <t>Upload Link:</t>
  </si>
  <si>
    <t>Sharepoint Upload Link</t>
  </si>
  <si>
    <t>mangesh.shigvan@ril.com</t>
  </si>
  <si>
    <t>ganesh.ringe@ril.com</t>
  </si>
  <si>
    <t>chandra.vargaonkar@ril.com</t>
  </si>
  <si>
    <t>Share the file with:</t>
  </si>
  <si>
    <t>In case of issue while uploading on sharepoint, send mail to above team members</t>
  </si>
  <si>
    <t>Selling Price Format</t>
  </si>
  <si>
    <t xml:space="preserve"> </t>
  </si>
  <si>
    <t>Duration</t>
  </si>
  <si>
    <t>Ladder 1</t>
  </si>
  <si>
    <t>Ladder 2</t>
  </si>
  <si>
    <t>Ladder 3</t>
  </si>
  <si>
    <t>MAP</t>
  </si>
  <si>
    <t>Key</t>
  </si>
  <si>
    <t>Portfolio Name</t>
  </si>
  <si>
    <t>Catgory</t>
  </si>
  <si>
    <t>Launch Date</t>
  </si>
  <si>
    <t>State</t>
  </si>
  <si>
    <t>Metro Receiving Code</t>
  </si>
  <si>
    <t>Source DC</t>
  </si>
  <si>
    <t>RRL Code</t>
  </si>
  <si>
    <t>RRL Description</t>
  </si>
  <si>
    <t>L3</t>
  </si>
  <si>
    <t>Site Readiness</t>
  </si>
  <si>
    <t>Store Managers Name</t>
  </si>
  <si>
    <t>Store Manager Conatct No</t>
  </si>
  <si>
    <t>Store Manager email ID</t>
  </si>
  <si>
    <t>Staples</t>
  </si>
  <si>
    <t>Punjab</t>
  </si>
  <si>
    <t>T2E4</t>
  </si>
  <si>
    <t>Patiala</t>
  </si>
  <si>
    <t>GOOD LIFE DRY FRUITS MIXED 500 g PP</t>
  </si>
  <si>
    <t>DRY FRUITS &amp; NUTS</t>
  </si>
  <si>
    <t>Y</t>
  </si>
  <si>
    <t>Mr. Neeraj Kumar</t>
  </si>
  <si>
    <t>NEERAJ37.KUMAR@Ril.com</t>
  </si>
  <si>
    <t>Weekly requirement format</t>
  </si>
  <si>
    <t>To be shared with:</t>
  </si>
  <si>
    <t>rahul.misal@ril.com</t>
  </si>
  <si>
    <t>viraj.salunkhe@ril.com</t>
  </si>
  <si>
    <t>manish.kanojia@ril.com</t>
  </si>
  <si>
    <t>cc: kapil.mishra@ril.com</t>
  </si>
  <si>
    <t>Launched sites</t>
  </si>
  <si>
    <t>NSO sites</t>
  </si>
  <si>
    <t>STO Qty (EA)</t>
  </si>
  <si>
    <t>Site-Article-Vendor Listing</t>
  </si>
  <si>
    <t>To raise PO</t>
  </si>
  <si>
    <t>Cost price updation</t>
  </si>
  <si>
    <t>Selling price updation on Sharepoint
SAP billing approval</t>
  </si>
  <si>
    <t>To raise STO</t>
  </si>
  <si>
    <t>Site-Article Listing</t>
  </si>
  <si>
    <t>Cost price updation 
(if MAP = Rs. 0 / Rs.1)</t>
  </si>
  <si>
    <t>Stock Order</t>
  </si>
  <si>
    <t>MKP / Walk-in</t>
  </si>
  <si>
    <t>SAP</t>
  </si>
  <si>
    <t>Upload selling prices 
on Sharepoint</t>
  </si>
  <si>
    <t>Approval on mail from store</t>
  </si>
  <si>
    <t>Site - Article Listing (Direct Listing)</t>
  </si>
  <si>
    <t>Share Weekly Requirement with VF team</t>
  </si>
  <si>
    <t>Raise PO in SAP</t>
  </si>
  <si>
    <t>Flowchart</t>
  </si>
  <si>
    <t>Pur. Group</t>
  </si>
  <si>
    <t>Vendor</t>
  </si>
  <si>
    <t>Site</t>
  </si>
  <si>
    <t>Article</t>
  </si>
  <si>
    <t>Base Qty.</t>
  </si>
  <si>
    <t>Delivery date</t>
  </si>
  <si>
    <t>Consignment Flag</t>
  </si>
  <si>
    <t>Header Note</t>
  </si>
  <si>
    <t>Storage Location</t>
  </si>
  <si>
    <t>VF0</t>
  </si>
  <si>
    <t>T2JR</t>
  </si>
  <si>
    <t>16.09.2024</t>
  </si>
  <si>
    <t>PO REQUESTED BY</t>
  </si>
  <si>
    <t>mixed connective tissue disorder</t>
  </si>
  <si>
    <t>rheumatoid arthratis</t>
  </si>
  <si>
    <t>we need to save file in TXT (tab deliminted)</t>
  </si>
  <si>
    <t>ZPOUP in sap</t>
  </si>
  <si>
    <t>select Mass upload &amp; select exclude error while upload</t>
  </si>
  <si>
    <t>PO NUMBER</t>
  </si>
  <si>
    <t>SITE</t>
  </si>
  <si>
    <t>VENDOR</t>
  </si>
  <si>
    <t>ARTICLE</t>
  </si>
  <si>
    <t>DESC</t>
  </si>
  <si>
    <t>Product MRP/Eaches</t>
  </si>
  <si>
    <t>Suggested PO Price(BEFORE TAX)/Eaches</t>
  </si>
  <si>
    <t>Suggested PO Price(AFTER TAX) Eaches</t>
  </si>
  <si>
    <t>T2JJ</t>
  </si>
  <si>
    <t>15.07.2025</t>
  </si>
  <si>
    <t>PO REQUESTED BY ZL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</si>
</sst>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64" formatCode="[$-409]d\-mmm\-yy;@"/>
  </numFmts>
  <fonts count="3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rgb="FFFF0000"/>
      <name val="Calibri"/>
      <family val="2"/>
    </font>
    <font>
      <b/>
      <sz val="9"/>
      <color rgb="FF002060"/>
      <name val="Calibri"/>
      <family val="2"/>
    </font>
    <font>
      <b/>
      <sz val="9"/>
      <name val="Calibri"/>
      <family val="2"/>
    </font>
    <font>
      <b/>
      <sz val="9"/>
      <color rgb="FFFFFFFF"/>
      <name val="Calibri"/>
      <family val="2"/>
    </font>
    <font>
      <b/>
      <sz val="9"/>
      <color rgb="FFFFFF00"/>
      <name val="Calibri"/>
      <family val="2"/>
    </font>
    <font>
      <b/>
      <sz val="9"/>
      <color rgb="FF000000"/>
      <name val="Calibri"/>
      <family val="2"/>
    </font>
    <font>
      <sz val="9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8"/>
      <color theme="1"/>
      <name val="Calibri"/>
      <family val="2"/>
    </font>
    <font>
      <u/>
      <sz val="11"/>
      <color theme="10"/>
      <name val="Calibri"/>
      <family val="2"/>
      <scheme val="minor"/>
    </font>
    <font>
      <i/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206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FFFF00"/>
      <name val="Calibri"/>
      <family val="2"/>
      <scheme val="minor"/>
    </font>
    <font>
      <sz val="9"/>
      <color theme="1"/>
      <name val="Calibri"/>
      <family val="2"/>
    </font>
    <font>
      <sz val="11"/>
      <color theme="1"/>
      <name val="Calibri Light"/>
      <family val="2"/>
    </font>
    <font>
      <u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Arial"/>
      <family val="2"/>
    </font>
    <font>
      <sz val="9"/>
      <color rgb="FFFFFFFF"/>
      <name val="Arial"/>
      <family val="2"/>
    </font>
    <font>
      <sz val="9"/>
      <color rgb="FFFFFF00"/>
      <name val="Arial"/>
      <family val="2"/>
    </font>
    <font>
      <b/>
      <sz val="9"/>
      <color rgb="FF000080"/>
      <name val="Arial"/>
      <family val="2"/>
    </font>
    <font>
      <sz val="9"/>
      <color rgb="FF000000"/>
      <name val="Inherit"/>
    </font>
    <font>
      <b/>
      <sz val="9"/>
      <color rgb="FF000000"/>
      <name val="Arial"/>
      <family val="2"/>
    </font>
    <font>
      <sz val="9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9BC2E6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rgb="FF000000"/>
      </patternFill>
    </fill>
    <fill>
      <patternFill patternType="solid">
        <fgColor rgb="FF4472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2" applyNumberFormat="0" applyAlignment="0" applyProtection="0"/>
    <xf numFmtId="0" fontId="5" fillId="0" borderId="0" applyNumberFormat="0" applyFill="0" applyBorder="0" applyAlignment="0" applyProtection="0"/>
    <xf numFmtId="0" fontId="3" fillId="3" borderId="0" applyNumberFormat="0" applyBorder="0" applyAlignment="0" applyProtection="0"/>
    <xf numFmtId="0" fontId="17" fillId="0" borderId="0" applyNumberFormat="0" applyFill="0" applyBorder="0" applyAlignment="0" applyProtection="0"/>
    <xf numFmtId="0" fontId="25" fillId="0" borderId="0"/>
  </cellStyleXfs>
  <cellXfs count="93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0" xfId="0" applyFont="1"/>
    <xf numFmtId="0" fontId="2" fillId="0" borderId="0" xfId="0" applyFont="1"/>
    <xf numFmtId="0" fontId="6" fillId="0" borderId="0" xfId="0" applyFont="1"/>
    <xf numFmtId="14" fontId="7" fillId="4" borderId="1" xfId="0" applyNumberFormat="1" applyFont="1" applyFill="1" applyBorder="1" applyAlignment="1">
      <alignment horizontal="center" vertical="center" wrapText="1"/>
    </xf>
    <xf numFmtId="49" fontId="8" fillId="5" borderId="1" xfId="0" applyNumberFormat="1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9" fontId="10" fillId="6" borderId="1" xfId="2" applyFont="1" applyFill="1" applyBorder="1" applyAlignment="1">
      <alignment horizontal="center" vertical="center" wrapText="1"/>
    </xf>
    <xf numFmtId="2" fontId="10" fillId="6" borderId="1" xfId="2" applyNumberFormat="1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2" fontId="8" fillId="8" borderId="1" xfId="2" applyNumberFormat="1" applyFont="1" applyFill="1" applyBorder="1" applyAlignment="1">
      <alignment horizontal="center" vertical="center" wrapText="1"/>
    </xf>
    <xf numFmtId="9" fontId="8" fillId="8" borderId="1" xfId="2" applyFont="1" applyFill="1" applyBorder="1" applyAlignment="1">
      <alignment horizontal="center" vertical="center" wrapText="1"/>
    </xf>
    <xf numFmtId="10" fontId="8" fillId="8" borderId="1" xfId="2" applyNumberFormat="1" applyFont="1" applyFill="1" applyBorder="1" applyAlignment="1">
      <alignment horizontal="center" vertical="center" wrapText="1"/>
    </xf>
    <xf numFmtId="2" fontId="8" fillId="9" borderId="1" xfId="2" applyNumberFormat="1" applyFont="1" applyFill="1" applyBorder="1" applyAlignment="1">
      <alignment horizontal="center" vertical="center" wrapText="1"/>
    </xf>
    <xf numFmtId="9" fontId="8" fillId="9" borderId="1" xfId="2" applyFont="1" applyFill="1" applyBorder="1" applyAlignment="1">
      <alignment horizontal="center" vertical="center" wrapText="1"/>
    </xf>
    <xf numFmtId="10" fontId="8" fillId="9" borderId="1" xfId="2" applyNumberFormat="1" applyFont="1" applyFill="1" applyBorder="1" applyAlignment="1">
      <alignment horizontal="center" vertical="center" wrapText="1"/>
    </xf>
    <xf numFmtId="2" fontId="8" fillId="10" borderId="1" xfId="2" applyNumberFormat="1" applyFont="1" applyFill="1" applyBorder="1" applyAlignment="1">
      <alignment horizontal="center" vertical="center" wrapText="1"/>
    </xf>
    <xf numFmtId="9" fontId="8" fillId="10" borderId="1" xfId="2" applyFont="1" applyFill="1" applyBorder="1" applyAlignment="1">
      <alignment horizontal="center" vertical="center" wrapText="1"/>
    </xf>
    <xf numFmtId="10" fontId="8" fillId="10" borderId="1" xfId="2" applyNumberFormat="1" applyFont="1" applyFill="1" applyBorder="1" applyAlignment="1">
      <alignment horizontal="center" vertical="center" wrapText="1"/>
    </xf>
    <xf numFmtId="1" fontId="8" fillId="11" borderId="1" xfId="2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1" fontId="13" fillId="0" borderId="1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/>
    </xf>
    <xf numFmtId="0" fontId="15" fillId="0" borderId="1" xfId="0" applyFont="1" applyFill="1" applyBorder="1"/>
    <xf numFmtId="0" fontId="15" fillId="0" borderId="1" xfId="0" applyFont="1" applyFill="1" applyBorder="1" applyAlignment="1">
      <alignment vertical="center"/>
    </xf>
    <xf numFmtId="0" fontId="16" fillId="0" borderId="3" xfId="0" applyFont="1" applyFill="1" applyBorder="1"/>
    <xf numFmtId="0" fontId="13" fillId="0" borderId="1" xfId="0" applyNumberFormat="1" applyFont="1" applyFill="1" applyBorder="1" applyAlignment="1">
      <alignment horizontal="center" vertical="center"/>
    </xf>
    <xf numFmtId="43" fontId="16" fillId="0" borderId="1" xfId="1" applyFont="1" applyFill="1" applyBorder="1"/>
    <xf numFmtId="10" fontId="13" fillId="0" borderId="1" xfId="2" applyNumberFormat="1" applyFont="1" applyFill="1" applyBorder="1" applyAlignment="1">
      <alignment horizontal="center" vertical="center"/>
    </xf>
    <xf numFmtId="164" fontId="13" fillId="0" borderId="1" xfId="0" applyNumberFormat="1" applyFont="1" applyFill="1" applyBorder="1" applyAlignment="1">
      <alignment horizontal="center" vertical="center"/>
    </xf>
    <xf numFmtId="2" fontId="15" fillId="0" borderId="1" xfId="0" applyNumberFormat="1" applyFont="1" applyFill="1" applyBorder="1"/>
    <xf numFmtId="43" fontId="15" fillId="0" borderId="1" xfId="1" applyFont="1" applyFill="1" applyBorder="1"/>
    <xf numFmtId="10" fontId="13" fillId="0" borderId="1" xfId="0" applyNumberFormat="1" applyFont="1" applyFill="1" applyBorder="1" applyAlignment="1">
      <alignment horizontal="center" vertical="center"/>
    </xf>
    <xf numFmtId="2" fontId="16" fillId="0" borderId="3" xfId="0" applyNumberFormat="1" applyFont="1" applyFill="1" applyBorder="1"/>
    <xf numFmtId="0" fontId="18" fillId="0" borderId="0" xfId="6" applyFont="1"/>
    <xf numFmtId="0" fontId="19" fillId="0" borderId="0" xfId="0" applyFont="1"/>
    <xf numFmtId="0" fontId="20" fillId="12" borderId="4" xfId="0" applyFont="1" applyFill="1" applyBorder="1"/>
    <xf numFmtId="1" fontId="20" fillId="16" borderId="4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 wrapText="1"/>
    </xf>
    <xf numFmtId="0" fontId="10" fillId="17" borderId="1" xfId="0" applyFont="1" applyFill="1" applyBorder="1" applyAlignment="1">
      <alignment horizontal="center" vertical="center" wrapText="1"/>
    </xf>
    <xf numFmtId="0" fontId="24" fillId="0" borderId="1" xfId="0" applyFont="1" applyFill="1" applyBorder="1"/>
    <xf numFmtId="0" fontId="24" fillId="0" borderId="1" xfId="0" applyFont="1" applyBorder="1"/>
    <xf numFmtId="0" fontId="24" fillId="0" borderId="1" xfId="7" applyFont="1" applyFill="1" applyBorder="1" applyAlignment="1">
      <alignment horizontal="left"/>
    </xf>
    <xf numFmtId="0" fontId="15" fillId="0" borderId="1" xfId="0" applyFont="1" applyBorder="1" applyAlignment="1">
      <alignment horizontal="right" vertical="center"/>
    </xf>
    <xf numFmtId="0" fontId="15" fillId="0" borderId="1" xfId="0" applyFont="1" applyBorder="1" applyAlignment="1">
      <alignment vertical="center"/>
    </xf>
    <xf numFmtId="0" fontId="24" fillId="0" borderId="1" xfId="0" applyFont="1" applyBorder="1" applyAlignment="1">
      <alignment horizontal="center"/>
    </xf>
    <xf numFmtId="1" fontId="24" fillId="0" borderId="1" xfId="1" applyNumberFormat="1" applyFont="1" applyBorder="1" applyAlignment="1">
      <alignment horizontal="right" vertical="center"/>
    </xf>
    <xf numFmtId="0" fontId="4" fillId="2" borderId="2" xfId="3"/>
    <xf numFmtId="0" fontId="3" fillId="3" borderId="1" xfId="5" applyBorder="1" applyAlignment="1">
      <alignment horizontal="center" vertical="center"/>
    </xf>
    <xf numFmtId="0" fontId="3" fillId="3" borderId="1" xfId="5" applyBorder="1" applyAlignment="1">
      <alignment horizontal="center" vertical="center" wrapText="1"/>
    </xf>
    <xf numFmtId="0" fontId="5" fillId="0" borderId="0" xfId="4" applyAlignment="1">
      <alignment horizontal="center" vertical="center" wrapText="1"/>
    </xf>
    <xf numFmtId="0" fontId="0" fillId="3" borderId="1" xfId="5" applyFont="1" applyBorder="1" applyAlignment="1">
      <alignment horizontal="center" vertical="center"/>
    </xf>
    <xf numFmtId="0" fontId="17" fillId="3" borderId="1" xfId="6" applyFill="1" applyBorder="1" applyAlignment="1">
      <alignment horizontal="center" vertical="center"/>
    </xf>
    <xf numFmtId="0" fontId="26" fillId="3" borderId="1" xfId="6" applyFont="1" applyFill="1" applyBorder="1" applyAlignment="1">
      <alignment horizontal="center" vertical="center"/>
    </xf>
    <xf numFmtId="0" fontId="26" fillId="3" borderId="1" xfId="6" applyFont="1" applyFill="1" applyBorder="1" applyAlignment="1">
      <alignment horizontal="center" vertical="center" wrapText="1"/>
    </xf>
    <xf numFmtId="0" fontId="26" fillId="3" borderId="1" xfId="5" applyFont="1" applyBorder="1"/>
    <xf numFmtId="0" fontId="26" fillId="3" borderId="0" xfId="5" applyFont="1"/>
    <xf numFmtId="0" fontId="0" fillId="0" borderId="1" xfId="0" applyBorder="1" applyAlignment="1">
      <alignment horizontal="left" vertical="top"/>
    </xf>
    <xf numFmtId="1" fontId="0" fillId="0" borderId="1" xfId="0" applyNumberFormat="1" applyBorder="1"/>
    <xf numFmtId="1" fontId="0" fillId="0" borderId="1" xfId="1" applyNumberFormat="1" applyFont="1" applyBorder="1"/>
    <xf numFmtId="0" fontId="27" fillId="0" borderId="1" xfId="0" applyFont="1" applyBorder="1" applyAlignment="1">
      <alignment horizontal="left"/>
    </xf>
    <xf numFmtId="1" fontId="27" fillId="0" borderId="1" xfId="0" applyNumberFormat="1" applyFont="1" applyBorder="1" applyAlignment="1">
      <alignment horizontal="left"/>
    </xf>
    <xf numFmtId="0" fontId="28" fillId="0" borderId="1" xfId="0" applyFont="1" applyBorder="1" applyAlignment="1">
      <alignment horizontal="center"/>
    </xf>
    <xf numFmtId="0" fontId="21" fillId="15" borderId="4" xfId="0" applyFont="1" applyFill="1" applyBorder="1" applyAlignment="1">
      <alignment horizontal="center" vertical="center" wrapText="1"/>
    </xf>
    <xf numFmtId="49" fontId="21" fillId="13" borderId="4" xfId="0" applyNumberFormat="1" applyFont="1" applyFill="1" applyBorder="1" applyAlignment="1">
      <alignment horizontal="center" vertical="center" wrapText="1"/>
    </xf>
    <xf numFmtId="0" fontId="22" fillId="6" borderId="4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21" fillId="8" borderId="4" xfId="0" applyFont="1" applyFill="1" applyBorder="1" applyAlignment="1">
      <alignment horizontal="center" vertical="center" wrapText="1"/>
    </xf>
    <xf numFmtId="0" fontId="21" fillId="14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9" fillId="0" borderId="0" xfId="0" applyFont="1" applyAlignment="1">
      <alignment vertical="center" wrapText="1"/>
    </xf>
    <xf numFmtId="0" fontId="30" fillId="18" borderId="5" xfId="0" applyFont="1" applyFill="1" applyBorder="1" applyAlignment="1">
      <alignment horizontal="center" vertical="center" wrapText="1"/>
    </xf>
    <xf numFmtId="0" fontId="30" fillId="18" borderId="6" xfId="0" applyFont="1" applyFill="1" applyBorder="1" applyAlignment="1">
      <alignment horizontal="center" vertical="center" wrapText="1"/>
    </xf>
    <xf numFmtId="0" fontId="31" fillId="19" borderId="6" xfId="0" applyFont="1" applyFill="1" applyBorder="1" applyAlignment="1">
      <alignment horizontal="center" vertical="center" wrapText="1"/>
    </xf>
    <xf numFmtId="0" fontId="32" fillId="0" borderId="7" xfId="0" applyFont="1" applyBorder="1" applyAlignment="1">
      <alignment vertical="center" wrapText="1"/>
    </xf>
    <xf numFmtId="0" fontId="33" fillId="0" borderId="8" xfId="0" applyFont="1" applyBorder="1" applyAlignment="1">
      <alignment vertical="center" wrapText="1"/>
    </xf>
    <xf numFmtId="0" fontId="34" fillId="20" borderId="8" xfId="0" applyFont="1" applyFill="1" applyBorder="1" applyAlignment="1">
      <alignment horizontal="right" vertical="center" wrapText="1"/>
    </xf>
    <xf numFmtId="0" fontId="35" fillId="0" borderId="8" xfId="0" applyFont="1" applyBorder="1" applyAlignment="1">
      <alignment horizontal="right" vertical="center" wrapText="1"/>
    </xf>
    <xf numFmtId="0" fontId="35" fillId="0" borderId="8" xfId="0" applyFont="1" applyBorder="1" applyAlignment="1">
      <alignment vertical="center" wrapText="1"/>
    </xf>
    <xf numFmtId="0" fontId="33" fillId="0" borderId="8" xfId="0" applyFont="1" applyBorder="1" applyAlignment="1">
      <alignment horizontal="right" vertical="center" wrapText="1"/>
    </xf>
    <xf numFmtId="0" fontId="0" fillId="0" borderId="0" xfId="0" applyAlignment="1"/>
    <xf numFmtId="0" fontId="32" fillId="0" borderId="7" xfId="0" applyFont="1" applyBorder="1" applyAlignment="1">
      <alignment vertical="center"/>
    </xf>
    <xf numFmtId="0" fontId="33" fillId="0" borderId="8" xfId="0" applyFont="1" applyBorder="1" applyAlignment="1">
      <alignment vertical="center"/>
    </xf>
    <xf numFmtId="0" fontId="34" fillId="20" borderId="8" xfId="0" applyFont="1" applyFill="1" applyBorder="1" applyAlignment="1">
      <alignment horizontal="right" vertical="center"/>
    </xf>
    <xf numFmtId="0" fontId="35" fillId="0" borderId="8" xfId="0" applyFont="1" applyBorder="1" applyAlignment="1">
      <alignment horizontal="right" vertical="center"/>
    </xf>
    <xf numFmtId="0" fontId="35" fillId="0" borderId="8" xfId="0" applyFont="1" applyBorder="1" applyAlignment="1">
      <alignment vertical="center"/>
    </xf>
    <xf numFmtId="0" fontId="33" fillId="0" borderId="8" xfId="0" applyFont="1" applyBorder="1" applyAlignment="1">
      <alignment horizontal="right" vertical="center"/>
    </xf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horizontal="left" vertical="center" wrapText="1"/>
    </xf>
  </cellXfs>
  <cellStyles count="8">
    <cellStyle name="20% - Accent1" xfId="5" builtinId="30"/>
    <cellStyle name="Check Cell" xfId="3" builtinId="23"/>
    <cellStyle name="Comma" xfId="1" builtinId="3"/>
    <cellStyle name="Explanatory Text" xfId="4" builtinId="53"/>
    <cellStyle name="Hyperlink" xfId="6" builtinId="8"/>
    <cellStyle name="Normal" xfId="0" builtinId="0"/>
    <cellStyle name="Normal 2" xfId="7"/>
    <cellStyle name="Percent" xfId="2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1079500</xdr:colOff>
      <xdr:row>3</xdr:row>
      <xdr:rowOff>12700</xdr:rowOff>
    </xdr:from>
    <xdr:to>
      <xdr:col>2</xdr:col>
      <xdr:colOff>1079500</xdr:colOff>
      <xdr:row>4</xdr:row>
      <xdr:rowOff>0</xdr:rowOff>
    </xdr:to>
    <xdr:cxnSp macro="">
      <xdr:nvCxnSpPr>
        <xdr:cNvPr id="3" name="Straight Arrow Connector 2"/>
        <xdr:cNvCxnSpPr/>
      </xdr:nvCxnSpPr>
      <xdr:spPr>
        <a:xfrm>
          <a:off x="2971800" y="584200"/>
          <a:ext cx="0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1079500</xdr:colOff>
      <xdr:row>5</xdr:row>
      <xdr:rowOff>0</xdr:rowOff>
    </xdr:from>
    <xdr:to>
      <xdr:col>2</xdr:col>
      <xdr:colOff>1079500</xdr:colOff>
      <xdr:row>5</xdr:row>
      <xdr:rowOff>171450</xdr:rowOff>
    </xdr:to>
    <xdr:cxnSp macro="">
      <xdr:nvCxnSpPr>
        <xdr:cNvPr id="12" name="Straight Arrow Connector 11"/>
        <xdr:cNvCxnSpPr/>
      </xdr:nvCxnSpPr>
      <xdr:spPr>
        <a:xfrm>
          <a:off x="2971800" y="939800"/>
          <a:ext cx="0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1079500</xdr:colOff>
      <xdr:row>7</xdr:row>
      <xdr:rowOff>0</xdr:rowOff>
    </xdr:from>
    <xdr:to>
      <xdr:col>2</xdr:col>
      <xdr:colOff>1079500</xdr:colOff>
      <xdr:row>7</xdr:row>
      <xdr:rowOff>171450</xdr:rowOff>
    </xdr:to>
    <xdr:cxnSp macro="">
      <xdr:nvCxnSpPr>
        <xdr:cNvPr id="13" name="Straight Arrow Connector 12"/>
        <xdr:cNvCxnSpPr/>
      </xdr:nvCxnSpPr>
      <xdr:spPr>
        <a:xfrm>
          <a:off x="2971800" y="1308100"/>
          <a:ext cx="0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1092200</xdr:colOff>
      <xdr:row>9</xdr:row>
      <xdr:rowOff>0</xdr:rowOff>
    </xdr:from>
    <xdr:to>
      <xdr:col>2</xdr:col>
      <xdr:colOff>1092200</xdr:colOff>
      <xdr:row>9</xdr:row>
      <xdr:rowOff>171450</xdr:rowOff>
    </xdr:to>
    <xdr:cxnSp macro="">
      <xdr:nvCxnSpPr>
        <xdr:cNvPr id="14" name="Straight Arrow Connector 13"/>
        <xdr:cNvCxnSpPr/>
      </xdr:nvCxnSpPr>
      <xdr:spPr>
        <a:xfrm>
          <a:off x="2984500" y="1860550"/>
          <a:ext cx="0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1073150</xdr:colOff>
      <xdr:row>2</xdr:row>
      <xdr:rowOff>177800</xdr:rowOff>
    </xdr:from>
    <xdr:to>
      <xdr:col>6</xdr:col>
      <xdr:colOff>1073150</xdr:colOff>
      <xdr:row>3</xdr:row>
      <xdr:rowOff>165100</xdr:rowOff>
    </xdr:to>
    <xdr:cxnSp macro="">
      <xdr:nvCxnSpPr>
        <xdr:cNvPr id="15" name="Straight Arrow Connector 14"/>
        <xdr:cNvCxnSpPr/>
      </xdr:nvCxnSpPr>
      <xdr:spPr>
        <a:xfrm>
          <a:off x="8140700" y="565150"/>
          <a:ext cx="0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1073150</xdr:colOff>
      <xdr:row>5</xdr:row>
      <xdr:rowOff>0</xdr:rowOff>
    </xdr:from>
    <xdr:to>
      <xdr:col>6</xdr:col>
      <xdr:colOff>1073150</xdr:colOff>
      <xdr:row>5</xdr:row>
      <xdr:rowOff>171450</xdr:rowOff>
    </xdr:to>
    <xdr:cxnSp macro="">
      <xdr:nvCxnSpPr>
        <xdr:cNvPr id="16" name="Straight Arrow Connector 15"/>
        <xdr:cNvCxnSpPr/>
      </xdr:nvCxnSpPr>
      <xdr:spPr>
        <a:xfrm>
          <a:off x="8140700" y="939800"/>
          <a:ext cx="0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1085850</xdr:colOff>
      <xdr:row>7</xdr:row>
      <xdr:rowOff>19050</xdr:rowOff>
    </xdr:from>
    <xdr:to>
      <xdr:col>6</xdr:col>
      <xdr:colOff>1085850</xdr:colOff>
      <xdr:row>8</xdr:row>
      <xdr:rowOff>6350</xdr:rowOff>
    </xdr:to>
    <xdr:cxnSp macro="">
      <xdr:nvCxnSpPr>
        <xdr:cNvPr id="17" name="Straight Arrow Connector 16"/>
        <xdr:cNvCxnSpPr/>
      </xdr:nvCxnSpPr>
      <xdr:spPr>
        <a:xfrm>
          <a:off x="8153400" y="1327150"/>
          <a:ext cx="0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1079500</xdr:colOff>
      <xdr:row>9</xdr:row>
      <xdr:rowOff>6350</xdr:rowOff>
    </xdr:from>
    <xdr:to>
      <xdr:col>6</xdr:col>
      <xdr:colOff>1079500</xdr:colOff>
      <xdr:row>9</xdr:row>
      <xdr:rowOff>177800</xdr:rowOff>
    </xdr:to>
    <xdr:cxnSp macro="">
      <xdr:nvCxnSpPr>
        <xdr:cNvPr id="18" name="Straight Arrow Connector 17"/>
        <xdr:cNvCxnSpPr/>
      </xdr:nvCxnSpPr>
      <xdr:spPr>
        <a:xfrm>
          <a:off x="8147050" y="1866900"/>
          <a:ext cx="0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844550</xdr:colOff>
      <xdr:row>11</xdr:row>
      <xdr:rowOff>0</xdr:rowOff>
    </xdr:from>
    <xdr:to>
      <xdr:col>2</xdr:col>
      <xdr:colOff>1073150</xdr:colOff>
      <xdr:row>11</xdr:row>
      <xdr:rowOff>177800</xdr:rowOff>
    </xdr:to>
    <xdr:cxnSp macro="">
      <xdr:nvCxnSpPr>
        <xdr:cNvPr id="19" name="Straight Arrow Connector 18"/>
        <xdr:cNvCxnSpPr/>
      </xdr:nvCxnSpPr>
      <xdr:spPr>
        <a:xfrm flipH="1">
          <a:off x="1454150" y="2413000"/>
          <a:ext cx="1511300" cy="177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1092200</xdr:colOff>
      <xdr:row>11</xdr:row>
      <xdr:rowOff>0</xdr:rowOff>
    </xdr:from>
    <xdr:to>
      <xdr:col>3</xdr:col>
      <xdr:colOff>444500</xdr:colOff>
      <xdr:row>11</xdr:row>
      <xdr:rowOff>171450</xdr:rowOff>
    </xdr:to>
    <xdr:cxnSp macro="">
      <xdr:nvCxnSpPr>
        <xdr:cNvPr id="21" name="Straight Arrow Connector 20"/>
        <xdr:cNvCxnSpPr/>
      </xdr:nvCxnSpPr>
      <xdr:spPr>
        <a:xfrm>
          <a:off x="2984500" y="2413000"/>
          <a:ext cx="1536700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781050</xdr:colOff>
      <xdr:row>10</xdr:row>
      <xdr:rowOff>361950</xdr:rowOff>
    </xdr:from>
    <xdr:to>
      <xdr:col>6</xdr:col>
      <xdr:colOff>1009650</xdr:colOff>
      <xdr:row>11</xdr:row>
      <xdr:rowOff>171450</xdr:rowOff>
    </xdr:to>
    <xdr:cxnSp macro="">
      <xdr:nvCxnSpPr>
        <xdr:cNvPr id="24" name="Straight Arrow Connector 23"/>
        <xdr:cNvCxnSpPr/>
      </xdr:nvCxnSpPr>
      <xdr:spPr>
        <a:xfrm flipH="1">
          <a:off x="6565900" y="2406650"/>
          <a:ext cx="1511300" cy="177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1028700</xdr:colOff>
      <xdr:row>10</xdr:row>
      <xdr:rowOff>361950</xdr:rowOff>
    </xdr:from>
    <xdr:to>
      <xdr:col>7</xdr:col>
      <xdr:colOff>381000</xdr:colOff>
      <xdr:row>11</xdr:row>
      <xdr:rowOff>165100</xdr:rowOff>
    </xdr:to>
    <xdr:cxnSp macro="">
      <xdr:nvCxnSpPr>
        <xdr:cNvPr id="25" name="Straight Arrow Connector 24"/>
        <xdr:cNvCxnSpPr/>
      </xdr:nvCxnSpPr>
      <xdr:spPr>
        <a:xfrm>
          <a:off x="8096250" y="2406650"/>
          <a:ext cx="1536700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1054100</xdr:colOff>
      <xdr:row>1</xdr:row>
      <xdr:rowOff>0</xdr:rowOff>
    </xdr:from>
    <xdr:to>
      <xdr:col>4</xdr:col>
      <xdr:colOff>355600</xdr:colOff>
      <xdr:row>1</xdr:row>
      <xdr:rowOff>158750</xdr:rowOff>
    </xdr:to>
    <xdr:cxnSp macro="">
      <xdr:nvCxnSpPr>
        <xdr:cNvPr id="26" name="Straight Arrow Connector 25"/>
        <xdr:cNvCxnSpPr/>
      </xdr:nvCxnSpPr>
      <xdr:spPr>
        <a:xfrm flipH="1">
          <a:off x="2946400" y="196850"/>
          <a:ext cx="2444750" cy="158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374650</xdr:colOff>
      <xdr:row>1</xdr:row>
      <xdr:rowOff>0</xdr:rowOff>
    </xdr:from>
    <xdr:to>
      <xdr:col>6</xdr:col>
      <xdr:colOff>1047750</xdr:colOff>
      <xdr:row>1</xdr:row>
      <xdr:rowOff>165100</xdr:rowOff>
    </xdr:to>
    <xdr:cxnSp macro="">
      <xdr:nvCxnSpPr>
        <xdr:cNvPr id="27" name="Straight Arrow Connector 26"/>
        <xdr:cNvCxnSpPr/>
      </xdr:nvCxnSpPr>
      <xdr:spPr>
        <a:xfrm>
          <a:off x="5410200" y="196850"/>
          <a:ext cx="2705100" cy="165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https://jiospsites.ril.com/sites/JioMart/Shared%20Documents/Forms/AllItems.aspx?RootFolder=%2Fsites%2FJioMart%2FShared%20Documents%2FCategory%2FStaples&amp;FolderCTID=0x012000BC560BCB03CEAB4DB53D56C923896A2D&amp;View=%7B2C837075%2D8092%2D48BF%2D9068%2DC00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4"/>
  <sheetViews>
    <sheetView workbookViewId="0">
      <selection activeCell="E5" sqref="E5"/>
    </sheetView>
  </sheetViews>
  <sheetFormatPr defaultRowHeight="15"/>
  <cols>
    <col min="2" max="2" width="18.42578125" bestFit="1" customWidth="1"/>
    <col min="3" max="3" width="31.42578125" customWidth="1"/>
    <col min="4" max="4" width="13.7109375" bestFit="1" customWidth="1"/>
    <col min="5" max="5" width="10.7109375" bestFit="1" customWidth="1"/>
    <col min="6" max="6" width="18.42578125" bestFit="1" customWidth="1"/>
    <col min="7" max="7" width="34.42578125" customWidth="1"/>
    <col min="8" max="8" width="14.140625" bestFit="1" customWidth="1"/>
  </cols>
  <sheetData>
    <row r="1" spans="2:8" ht="16.5" thickTop="1" thickBot="1">
      <c r="E1" s="51" t="s">
        <v>97</v>
      </c>
    </row>
    <row r="2" spans="2:8" ht="15.75" thickTop="1"/>
    <row r="3" spans="2:8">
      <c r="C3" s="52" t="s">
        <v>91</v>
      </c>
      <c r="G3" s="52" t="s">
        <v>94</v>
      </c>
    </row>
    <row r="5" spans="2:8">
      <c r="C5" s="57" t="s">
        <v>90</v>
      </c>
      <c r="G5" s="56" t="s">
        <v>95</v>
      </c>
    </row>
    <row r="7" spans="2:8">
      <c r="C7" s="57" t="s">
        <v>92</v>
      </c>
      <c r="G7" s="57" t="s">
        <v>103</v>
      </c>
    </row>
    <row r="9" spans="2:8" ht="30">
      <c r="C9" s="55" t="s">
        <v>104</v>
      </c>
      <c r="G9" s="58" t="s">
        <v>96</v>
      </c>
    </row>
    <row r="11" spans="2:8" ht="45">
      <c r="C11" s="53" t="s">
        <v>93</v>
      </c>
      <c r="G11" s="53" t="s">
        <v>93</v>
      </c>
    </row>
    <row r="13" spans="2:8">
      <c r="B13" s="57" t="s">
        <v>98</v>
      </c>
      <c r="D13" s="53" t="s">
        <v>99</v>
      </c>
      <c r="F13" s="57" t="s">
        <v>98</v>
      </c>
      <c r="H13" s="53" t="s">
        <v>99</v>
      </c>
    </row>
    <row r="14" spans="2:8" ht="35.1" customHeight="1">
      <c r="B14" s="54" t="s">
        <v>100</v>
      </c>
      <c r="D14" s="54" t="s">
        <v>101</v>
      </c>
      <c r="F14" s="54" t="s">
        <v>100</v>
      </c>
      <c r="H14" s="54" t="s">
        <v>101</v>
      </c>
    </row>
  </sheetData>
  <hyperlinks>
    <hyperlink ref="C5" location="Listing!A2:J4" display="Site-Article-Vendor Listing"/>
    <hyperlink ref="C7" location="'Cost Price Updation'!A2:L4" display="Cost price updation"/>
    <hyperlink ref="B13" location="'Selling Price'!A2:AA4" display="MKP / Walk-in"/>
    <hyperlink ref="F13" location="'Selling Price'!A2:AA4" display="MKP / Walk-in"/>
    <hyperlink ref="G9" location="'Cost Price Updation'!A2:L4" display="'Cost Price Updation'!A2:L4"/>
    <hyperlink ref="G5" location="Listing!A7:H9" display="Site-Article Listing"/>
    <hyperlink ref="G7" location="'Weekly Requirement'!A2:Q4" display="Share Weekly Requirement with VF team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"/>
  <sheetViews>
    <sheetView topLeftCell="A2" workbookViewId="0">
      <selection activeCell="A15" sqref="A15:H19"/>
    </sheetView>
  </sheetViews>
  <sheetFormatPr defaultRowHeight="15"/>
  <cols>
    <col min="1" max="1" width="23.85546875" bestFit="1" customWidth="1"/>
    <col min="2" max="2" width="8.7109375" customWidth="1"/>
    <col min="3" max="4" width="10.85546875" bestFit="1" customWidth="1"/>
    <col min="5" max="5" width="41" bestFit="1" customWidth="1"/>
    <col min="6" max="6" width="9.28515625" customWidth="1"/>
    <col min="7" max="7" width="11.7109375" bestFit="1" customWidth="1"/>
    <col min="8" max="9" width="12.42578125" bestFit="1" customWidth="1"/>
    <col min="10" max="10" width="7.85546875" bestFit="1" customWidth="1"/>
    <col min="11" max="11" width="20.140625" bestFit="1" customWidth="1"/>
    <col min="12" max="12" width="15.42578125" customWidth="1"/>
    <col min="13" max="13" width="13.140625" customWidth="1"/>
  </cols>
  <sheetData>
    <row r="1" spans="1:13">
      <c r="A1" s="4" t="s">
        <v>90</v>
      </c>
      <c r="M1" s="59" t="s">
        <v>105</v>
      </c>
    </row>
    <row r="2" spans="1:13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11</v>
      </c>
      <c r="H2" s="2" t="s">
        <v>12</v>
      </c>
      <c r="I2" s="2" t="s">
        <v>7</v>
      </c>
      <c r="J2" s="2" t="s">
        <v>8</v>
      </c>
    </row>
    <row r="3" spans="1:13">
      <c r="A3" s="1"/>
      <c r="B3" s="1"/>
      <c r="C3" s="1"/>
      <c r="D3" s="1"/>
      <c r="E3" s="1"/>
      <c r="F3" s="1"/>
      <c r="G3" s="1"/>
      <c r="H3" s="1"/>
      <c r="I3" s="1"/>
      <c r="J3" s="1"/>
    </row>
    <row r="4" spans="1:13">
      <c r="A4" s="1"/>
      <c r="B4" s="1"/>
      <c r="C4" s="1"/>
      <c r="D4" s="1"/>
      <c r="E4" s="1"/>
      <c r="F4" s="1"/>
      <c r="G4" s="1"/>
      <c r="H4" s="1"/>
      <c r="I4" s="1"/>
      <c r="J4" s="1"/>
    </row>
    <row r="6" spans="1:13">
      <c r="A6" s="4" t="s">
        <v>102</v>
      </c>
    </row>
    <row r="7" spans="1:13">
      <c r="A7" s="2" t="s">
        <v>1</v>
      </c>
      <c r="B7" s="2" t="s">
        <v>2</v>
      </c>
      <c r="C7" s="2" t="s">
        <v>3</v>
      </c>
      <c r="D7" s="2" t="s">
        <v>4</v>
      </c>
      <c r="E7" s="2" t="s">
        <v>5</v>
      </c>
      <c r="F7" s="2" t="s">
        <v>6</v>
      </c>
      <c r="G7" s="2" t="s">
        <v>7</v>
      </c>
      <c r="H7" s="2" t="s">
        <v>8</v>
      </c>
    </row>
    <row r="8" spans="1:13">
      <c r="A8" s="1"/>
      <c r="B8" s="1"/>
      <c r="C8" s="1"/>
      <c r="D8" s="1"/>
      <c r="E8" s="1"/>
      <c r="F8" s="1"/>
      <c r="G8" s="1"/>
      <c r="H8" s="1"/>
    </row>
    <row r="9" spans="1:13">
      <c r="A9" s="1"/>
      <c r="B9" s="1"/>
      <c r="C9" s="1"/>
      <c r="D9" s="1"/>
      <c r="E9" s="1"/>
      <c r="F9" s="1"/>
      <c r="G9" s="1"/>
      <c r="H9" s="1"/>
    </row>
    <row r="11" spans="1:13">
      <c r="A11" s="5" t="s">
        <v>15</v>
      </c>
    </row>
    <row r="12" spans="1:13">
      <c r="A12" s="6" t="s">
        <v>13</v>
      </c>
    </row>
    <row r="13" spans="1:13">
      <c r="A13" s="6" t="s">
        <v>14</v>
      </c>
    </row>
    <row r="14" spans="1:13" ht="15.75" thickBot="1">
      <c r="A14" s="6" t="s">
        <v>16</v>
      </c>
    </row>
    <row r="15" spans="1:13" s="84" customFormat="1" ht="60.75" thickBot="1">
      <c r="A15" s="75" t="s">
        <v>124</v>
      </c>
      <c r="B15" s="76" t="s">
        <v>125</v>
      </c>
      <c r="C15" s="76" t="s">
        <v>126</v>
      </c>
      <c r="D15" s="76" t="s">
        <v>127</v>
      </c>
      <c r="E15" s="76" t="s">
        <v>128</v>
      </c>
      <c r="F15" s="76" t="s">
        <v>129</v>
      </c>
      <c r="G15" s="77" t="s">
        <v>130</v>
      </c>
      <c r="H15" s="77" t="s">
        <v>131</v>
      </c>
    </row>
    <row r="16" spans="1:13" s="84" customFormat="1" ht="15.75" thickBot="1">
      <c r="A16" s="85"/>
      <c r="B16" s="86"/>
      <c r="C16" s="87"/>
      <c r="D16" s="88"/>
      <c r="E16" s="89"/>
      <c r="F16" s="90"/>
      <c r="G16" s="86"/>
      <c r="H16" s="91"/>
    </row>
    <row r="17" spans="1:8" s="84" customFormat="1" ht="15.75" thickBot="1">
      <c r="A17" s="85"/>
      <c r="B17" s="86"/>
      <c r="C17" s="87"/>
      <c r="D17" s="88"/>
      <c r="E17" s="89"/>
      <c r="F17" s="90"/>
      <c r="G17" s="86"/>
      <c r="H17" s="91"/>
    </row>
    <row r="18" spans="1:8" s="84" customFormat="1" ht="15.75" thickBot="1">
      <c r="A18" s="85"/>
      <c r="B18" s="86"/>
      <c r="C18" s="87"/>
      <c r="D18" s="88"/>
      <c r="E18" s="89"/>
      <c r="F18" s="90"/>
      <c r="G18" s="86"/>
      <c r="H18" s="91"/>
    </row>
    <row r="19" spans="1:8" ht="15.75" thickBot="1">
      <c r="A19" s="78"/>
      <c r="B19" s="79"/>
      <c r="C19" s="80"/>
      <c r="D19" s="81"/>
      <c r="E19" s="82"/>
      <c r="F19" s="83"/>
      <c r="G19" s="79"/>
      <c r="H19" s="92"/>
    </row>
    <row r="20" spans="1:8">
      <c r="A20" s="74"/>
    </row>
  </sheetData>
  <hyperlinks>
    <hyperlink ref="M1" location="Flowchart!A1" display="Flowchart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"/>
  <sheetViews>
    <sheetView workbookViewId="0">
      <selection activeCell="A2" sqref="A2:L3"/>
    </sheetView>
  </sheetViews>
  <sheetFormatPr defaultRowHeight="15"/>
  <cols>
    <col min="11" max="11" width="20.140625" bestFit="1" customWidth="1"/>
    <col min="12" max="12" width="17.140625" bestFit="1" customWidth="1"/>
  </cols>
  <sheetData>
    <row r="1" spans="1:19">
      <c r="A1" s="4" t="s">
        <v>0</v>
      </c>
      <c r="S1" s="60" t="s">
        <v>105</v>
      </c>
    </row>
    <row r="2" spans="1:19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11</v>
      </c>
      <c r="H2" s="2" t="s">
        <v>12</v>
      </c>
      <c r="I2" s="2" t="s">
        <v>7</v>
      </c>
      <c r="J2" s="2" t="s">
        <v>8</v>
      </c>
      <c r="K2" s="3" t="s">
        <v>9</v>
      </c>
      <c r="L2" s="3" t="s">
        <v>10</v>
      </c>
    </row>
    <row r="3" spans="1:19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9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6" spans="1:19">
      <c r="A6" s="5" t="s">
        <v>15</v>
      </c>
    </row>
    <row r="7" spans="1:19">
      <c r="A7" s="6" t="s">
        <v>13</v>
      </c>
    </row>
    <row r="8" spans="1:19">
      <c r="A8" s="6" t="s">
        <v>14</v>
      </c>
    </row>
    <row r="9" spans="1:19">
      <c r="A9" s="6" t="s">
        <v>16</v>
      </c>
    </row>
  </sheetData>
  <hyperlinks>
    <hyperlink ref="S1" location="Flowchart!A1" display="Flowchar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1"/>
  <sheetViews>
    <sheetView workbookViewId="0">
      <selection activeCell="R1" sqref="R1"/>
    </sheetView>
  </sheetViews>
  <sheetFormatPr defaultRowHeight="15"/>
  <cols>
    <col min="1" max="1" width="16.28515625" customWidth="1"/>
    <col min="2" max="2" width="9" bestFit="1" customWidth="1"/>
  </cols>
  <sheetData>
    <row r="1" spans="1:30">
      <c r="A1" s="4" t="s">
        <v>51</v>
      </c>
      <c r="R1" s="60" t="s">
        <v>105</v>
      </c>
      <c r="AD1" s="60" t="s">
        <v>105</v>
      </c>
    </row>
    <row r="2" spans="1:30">
      <c r="A2" s="40"/>
      <c r="B2" s="68" t="s">
        <v>52</v>
      </c>
      <c r="C2" s="68"/>
      <c r="D2" s="68"/>
      <c r="E2" s="68"/>
      <c r="F2" s="68"/>
      <c r="G2" s="68"/>
      <c r="H2" s="68"/>
      <c r="I2" s="68" t="s">
        <v>24</v>
      </c>
      <c r="J2" s="68"/>
      <c r="K2" s="69" t="s">
        <v>27</v>
      </c>
      <c r="L2" s="69"/>
      <c r="M2" s="69"/>
      <c r="N2" s="69"/>
      <c r="O2" s="70" t="s">
        <v>53</v>
      </c>
      <c r="P2" s="70"/>
      <c r="Q2" s="71" t="s">
        <v>54</v>
      </c>
      <c r="R2" s="71"/>
      <c r="S2" s="71"/>
      <c r="T2" s="72" t="s">
        <v>55</v>
      </c>
      <c r="U2" s="72"/>
      <c r="V2" s="72"/>
      <c r="W2" s="67" t="s">
        <v>56</v>
      </c>
      <c r="X2" s="67"/>
      <c r="Y2" s="67"/>
      <c r="Z2" s="41" t="s">
        <v>57</v>
      </c>
      <c r="AA2" s="24" t="s">
        <v>36</v>
      </c>
    </row>
    <row r="3" spans="1:30" ht="36">
      <c r="A3" s="7" t="s">
        <v>17</v>
      </c>
      <c r="B3" s="8" t="s">
        <v>3</v>
      </c>
      <c r="C3" s="8" t="s">
        <v>18</v>
      </c>
      <c r="D3" s="8" t="s">
        <v>19</v>
      </c>
      <c r="E3" s="8" t="s">
        <v>20</v>
      </c>
      <c r="F3" s="9" t="s">
        <v>6</v>
      </c>
      <c r="G3" s="9" t="s">
        <v>21</v>
      </c>
      <c r="H3" s="9" t="s">
        <v>22</v>
      </c>
      <c r="I3" s="9" t="s">
        <v>23</v>
      </c>
      <c r="J3" s="8" t="s">
        <v>24</v>
      </c>
      <c r="K3" s="10" t="s">
        <v>7</v>
      </c>
      <c r="L3" s="11" t="s">
        <v>25</v>
      </c>
      <c r="M3" s="12" t="s">
        <v>26</v>
      </c>
      <c r="N3" s="10" t="s">
        <v>27</v>
      </c>
      <c r="O3" s="13" t="s">
        <v>28</v>
      </c>
      <c r="P3" s="13" t="s">
        <v>29</v>
      </c>
      <c r="Q3" s="14" t="s">
        <v>30</v>
      </c>
      <c r="R3" s="15" t="s">
        <v>31</v>
      </c>
      <c r="S3" s="16" t="s">
        <v>32</v>
      </c>
      <c r="T3" s="17" t="s">
        <v>33</v>
      </c>
      <c r="U3" s="18" t="s">
        <v>34</v>
      </c>
      <c r="V3" s="19" t="s">
        <v>32</v>
      </c>
      <c r="W3" s="20" t="s">
        <v>33</v>
      </c>
      <c r="X3" s="21" t="s">
        <v>34</v>
      </c>
      <c r="Y3" s="22" t="s">
        <v>32</v>
      </c>
      <c r="Z3" s="23" t="s">
        <v>35</v>
      </c>
      <c r="AA3" s="27" t="s">
        <v>43</v>
      </c>
    </row>
    <row r="4" spans="1:30">
      <c r="A4" s="25" t="str">
        <f>D4&amp;B4</f>
        <v>V0TZ491185132</v>
      </c>
      <c r="B4" s="26">
        <v>491185132</v>
      </c>
      <c r="C4" s="26" t="s">
        <v>37</v>
      </c>
      <c r="D4" s="27" t="s">
        <v>38</v>
      </c>
      <c r="E4" s="27" t="s">
        <v>39</v>
      </c>
      <c r="F4" s="28" t="s">
        <v>40</v>
      </c>
      <c r="G4" s="27" t="s">
        <v>41</v>
      </c>
      <c r="H4" s="27" t="s">
        <v>42</v>
      </c>
      <c r="I4" s="29"/>
      <c r="J4" s="29"/>
      <c r="K4" s="30">
        <v>25</v>
      </c>
      <c r="L4" s="30">
        <v>1</v>
      </c>
      <c r="M4" s="31">
        <v>11.6836</v>
      </c>
      <c r="N4" s="32">
        <f>(K4-M4)/K4</f>
        <v>0.53265600000000002</v>
      </c>
      <c r="O4" s="33">
        <v>45474</v>
      </c>
      <c r="P4" s="33">
        <v>46022</v>
      </c>
      <c r="Q4" s="34">
        <v>3</v>
      </c>
      <c r="R4" s="35">
        <v>11.333092000000001</v>
      </c>
      <c r="S4" s="36">
        <f>(M4-R4)/M4</f>
        <v>2.9999999999999964E-2</v>
      </c>
      <c r="T4" s="37"/>
      <c r="U4" s="29"/>
      <c r="V4" s="29"/>
      <c r="W4" s="37"/>
      <c r="X4" s="29"/>
      <c r="Y4" s="29"/>
      <c r="Z4" s="35">
        <v>10.342499999999999</v>
      </c>
    </row>
    <row r="6" spans="1:30">
      <c r="A6" t="s">
        <v>44</v>
      </c>
      <c r="B6" s="38" t="s">
        <v>45</v>
      </c>
    </row>
    <row r="7" spans="1:30">
      <c r="A7" t="s">
        <v>49</v>
      </c>
      <c r="B7" s="6" t="s">
        <v>46</v>
      </c>
    </row>
    <row r="8" spans="1:30">
      <c r="B8" s="6" t="s">
        <v>47</v>
      </c>
    </row>
    <row r="9" spans="1:30">
      <c r="B9" s="6" t="s">
        <v>48</v>
      </c>
    </row>
    <row r="11" spans="1:30">
      <c r="A11" s="39" t="s">
        <v>50</v>
      </c>
    </row>
  </sheetData>
  <mergeCells count="7">
    <mergeCell ref="W2:Y2"/>
    <mergeCell ref="B2:H2"/>
    <mergeCell ref="I2:J2"/>
    <mergeCell ref="K2:N2"/>
    <mergeCell ref="O2:P2"/>
    <mergeCell ref="Q2:S2"/>
    <mergeCell ref="T2:V2"/>
  </mergeCells>
  <hyperlinks>
    <hyperlink ref="B6" r:id="rId1"/>
    <hyperlink ref="R1" location="Flowchart!A1" display="Flowchart"/>
    <hyperlink ref="AD1" location="Flowchart!A1" display="Flowchar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"/>
  <sheetViews>
    <sheetView workbookViewId="0">
      <selection activeCell="S1" sqref="S1"/>
    </sheetView>
  </sheetViews>
  <sheetFormatPr defaultRowHeight="15"/>
  <sheetData>
    <row r="1" spans="1:19">
      <c r="A1" s="4" t="s">
        <v>81</v>
      </c>
      <c r="S1" s="60" t="s">
        <v>105</v>
      </c>
    </row>
    <row r="2" spans="1:19" ht="36">
      <c r="A2" s="42" t="s">
        <v>58</v>
      </c>
      <c r="B2" s="42" t="s">
        <v>59</v>
      </c>
      <c r="C2" s="42" t="s">
        <v>60</v>
      </c>
      <c r="D2" s="43" t="s">
        <v>61</v>
      </c>
      <c r="E2" s="42" t="s">
        <v>62</v>
      </c>
      <c r="F2" s="42" t="s">
        <v>63</v>
      </c>
      <c r="G2" s="43" t="s">
        <v>64</v>
      </c>
      <c r="H2" s="42" t="s">
        <v>2</v>
      </c>
      <c r="I2" s="42" t="s">
        <v>65</v>
      </c>
      <c r="J2" s="42" t="s">
        <v>66</v>
      </c>
      <c r="K2" s="42" t="s">
        <v>6</v>
      </c>
      <c r="L2" s="42" t="s">
        <v>67</v>
      </c>
      <c r="M2" s="42" t="s">
        <v>68</v>
      </c>
      <c r="N2" s="10" t="s">
        <v>89</v>
      </c>
      <c r="O2" s="42" t="s">
        <v>69</v>
      </c>
      <c r="P2" s="42" t="s">
        <v>70</v>
      </c>
      <c r="Q2" s="42" t="s">
        <v>71</v>
      </c>
    </row>
    <row r="3" spans="1:19">
      <c r="A3" s="44" t="str">
        <f t="shared" ref="A3" si="0">F3&amp;I3</f>
        <v>T2E4490006376</v>
      </c>
      <c r="B3" s="44" t="s">
        <v>41</v>
      </c>
      <c r="C3" s="45" t="s">
        <v>72</v>
      </c>
      <c r="D3" s="45"/>
      <c r="E3" s="44" t="s">
        <v>73</v>
      </c>
      <c r="F3" s="28" t="s">
        <v>74</v>
      </c>
      <c r="G3" s="45"/>
      <c r="H3" s="46" t="s">
        <v>75</v>
      </c>
      <c r="I3" s="47">
        <v>490006376</v>
      </c>
      <c r="J3" s="48" t="s">
        <v>76</v>
      </c>
      <c r="K3" s="45" t="s">
        <v>77</v>
      </c>
      <c r="L3" s="45" t="s">
        <v>77</v>
      </c>
      <c r="M3" s="49" t="s">
        <v>78</v>
      </c>
      <c r="N3" s="50">
        <v>25</v>
      </c>
      <c r="O3" s="45" t="s">
        <v>79</v>
      </c>
      <c r="P3" s="45">
        <v>6283364054</v>
      </c>
      <c r="Q3" s="45" t="s">
        <v>80</v>
      </c>
    </row>
    <row r="5" spans="1:19">
      <c r="A5" t="s">
        <v>82</v>
      </c>
      <c r="C5" t="s">
        <v>87</v>
      </c>
      <c r="D5" s="6" t="s">
        <v>83</v>
      </c>
    </row>
    <row r="6" spans="1:19">
      <c r="C6" s="73" t="s">
        <v>88</v>
      </c>
      <c r="D6" s="6" t="s">
        <v>84</v>
      </c>
    </row>
    <row r="7" spans="1:19">
      <c r="C7" s="73"/>
      <c r="D7" s="6" t="s">
        <v>85</v>
      </c>
    </row>
    <row r="8" spans="1:19">
      <c r="D8" s="6" t="s">
        <v>86</v>
      </c>
    </row>
  </sheetData>
  <mergeCells count="1">
    <mergeCell ref="C6:C7"/>
  </mergeCells>
  <conditionalFormatting sqref="A2">
    <cfRule type="duplicateValues" dxfId="2" priority="2"/>
  </conditionalFormatting>
  <conditionalFormatting sqref="A2:A3">
    <cfRule type="duplicateValues" dxfId="1" priority="1"/>
    <cfRule type="duplicateValues" dxfId="0" priority="3"/>
  </conditionalFormatting>
  <hyperlinks>
    <hyperlink ref="S1" location="Flowchart!A1" display="Flowchar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S1"/>
  <sheetViews>
    <sheetView workbookViewId="0"/>
  </sheetViews>
  <sheetFormatPr defaultRowHeight="15"/>
  <sheetData>
    <row r="1" spans="19:19">
      <c r="S1" s="60" t="s">
        <v>105</v>
      </c>
    </row>
  </sheetData>
  <hyperlinks>
    <hyperlink ref="S1" location="Flowchart!A1" display="Flowchar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4"/>
  <sheetViews>
    <sheetView tabSelected="1" workbookViewId="0">
      <selection activeCell="O5" sqref="O5"/>
    </sheetView>
  </sheetViews>
  <sheetFormatPr defaultRowHeight="15"/>
  <cols>
    <col min="1" max="1" width="10.42578125" bestFit="1" customWidth="1"/>
    <col min="4" max="4" width="10" bestFit="1" customWidth="1"/>
    <col min="6" max="6" width="12.85546875" bestFit="1" customWidth="1"/>
    <col min="7" max="8" width="16.85546875" bestFit="1" customWidth="1"/>
    <col min="9" max="9" width="15.7109375" bestFit="1" customWidth="1"/>
    <col min="15" max="15" width="40.5703125" bestFit="1" customWidth="1"/>
  </cols>
  <sheetData>
    <row r="1" spans="1:15">
      <c r="A1" s="1" t="s">
        <v>106</v>
      </c>
      <c r="B1" s="1" t="s">
        <v>107</v>
      </c>
      <c r="C1" s="61" t="s">
        <v>108</v>
      </c>
      <c r="D1" s="62" t="s">
        <v>109</v>
      </c>
      <c r="E1" s="63" t="s">
        <v>110</v>
      </c>
      <c r="F1" s="1" t="s">
        <v>111</v>
      </c>
      <c r="G1" s="1" t="s">
        <v>112</v>
      </c>
      <c r="H1" s="1" t="s">
        <v>113</v>
      </c>
      <c r="I1" s="1" t="s">
        <v>114</v>
      </c>
    </row>
    <row r="2" spans="1:15">
      <c r="A2" s="1" t="s">
        <v>115</v>
      </c>
      <c r="B2" s="64">
        <v>25010471</v>
      </c>
      <c r="C2" s="64" t="s">
        <v>116</v>
      </c>
      <c r="D2" s="65">
        <v>490983547</v>
      </c>
      <c r="E2" s="66">
        <v>6000</v>
      </c>
      <c r="F2" s="1" t="s">
        <v>117</v>
      </c>
      <c r="G2" s="1"/>
      <c r="H2" s="1" t="s">
        <v>118</v>
      </c>
      <c r="I2" s="1">
        <v>1000</v>
      </c>
    </row>
    <row r="3" spans="1:15">
      <c r="O3" t="s">
        <v>121</v>
      </c>
    </row>
    <row r="5" spans="1:15">
      <c r="O5" t="s">
        <v>122</v>
      </c>
    </row>
    <row r="6" spans="1:15">
      <c r="O6" t="s">
        <v>123</v>
      </c>
    </row>
    <row r="7" spans="1:15">
      <c r="A7" s="1"/>
      <c r="B7" s="1"/>
      <c r="C7" s="61"/>
      <c r="D7" s="62"/>
      <c r="E7" s="63"/>
      <c r="F7" s="1"/>
      <c r="G7" s="1"/>
      <c r="H7" s="1"/>
      <c r="I7" s="1"/>
    </row>
    <row r="8" spans="1:15">
      <c r="A8" s="1"/>
      <c r="B8" s="64"/>
      <c r="C8" s="64"/>
      <c r="D8" s="65"/>
      <c r="E8" s="66"/>
      <c r="F8" s="1"/>
      <c r="G8" s="1"/>
      <c r="H8" s="1"/>
      <c r="I8" s="1"/>
    </row>
    <row r="11" spans="1:15">
      <c r="C11" t="s">
        <v>119</v>
      </c>
    </row>
    <row r="12" spans="1:15">
      <c r="C12" t="s">
        <v>120</v>
      </c>
    </row>
    <row r="13" spans="1:15">
      <c r="A13" s="1" t="s">
        <v>106</v>
      </c>
      <c r="B13" s="1" t="s">
        <v>107</v>
      </c>
      <c r="C13" s="61" t="s">
        <v>108</v>
      </c>
      <c r="D13" s="62" t="s">
        <v>109</v>
      </c>
      <c r="E13" s="63" t="s">
        <v>110</v>
      </c>
      <c r="F13" s="1" t="s">
        <v>111</v>
      </c>
      <c r="G13" s="1" t="s">
        <v>112</v>
      </c>
      <c r="H13" s="1" t="s">
        <v>113</v>
      </c>
      <c r="I13" s="1" t="s">
        <v>114</v>
      </c>
    </row>
    <row r="14" spans="1:15">
      <c r="A14" s="1" t="s">
        <v>115</v>
      </c>
      <c r="B14">
        <v>25017108</v>
      </c>
      <c r="C14" t="s">
        <v>132</v>
      </c>
      <c r="D14">
        <v>490000070</v>
      </c>
      <c r="E14">
        <v>1500</v>
      </c>
      <c r="F14" t="s">
        <v>133</v>
      </c>
      <c r="H14" s="1" t="s">
        <v>134</v>
      </c>
      <c r="I14" s="1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Flowchart</vt:lpstr>
      <vt:lpstr>Listing</vt:lpstr>
      <vt:lpstr>Cost Price Updation</vt:lpstr>
      <vt:lpstr>Selling Price</vt:lpstr>
      <vt:lpstr>Weekly Requirement</vt:lpstr>
      <vt:lpstr>Reports</vt:lpstr>
      <vt:lpstr> priyanka mass 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2025-06-24T08:49:14Z</dcterms:modified>
</cp:coreProperties>
</file>